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30da284ac8d78ca/Desktop/"/>
    </mc:Choice>
  </mc:AlternateContent>
  <xr:revisionPtr revIDLastSave="1" documentId="14_{B32EE810-E142-4CC5-B08E-39620B22B307}" xr6:coauthVersionLast="47" xr6:coauthVersionMax="47" xr10:uidLastSave="{8A997706-310B-4BD0-A505-C83DE762514A}"/>
  <bookViews>
    <workbookView minimized="1" xWindow="4800" yWindow="3110" windowWidth="14400" windowHeight="8170" tabRatio="500" xr2:uid="{00000000-000D-0000-FFFF-FFFF00000000}"/>
  </bookViews>
  <sheets>
    <sheet name="Cover Page" sheetId="1" r:id="rId1"/>
    <sheet name="Company Ratios" sheetId="2" r:id="rId2"/>
    <sheet name="Risk Dashboard" sheetId="4" r:id="rId3"/>
    <sheet name="Model Summary" sheetId="5" r:id="rId4"/>
    <sheet name="Legend &amp; Method" sheetId="3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20" i="2" l="1"/>
  <c r="L20" i="2" s="1"/>
  <c r="K18" i="2"/>
  <c r="L18" i="2" s="1"/>
  <c r="K17" i="2"/>
  <c r="L17" i="2" s="1"/>
  <c r="K16" i="2"/>
  <c r="L16" i="2" s="1"/>
  <c r="K15" i="2"/>
  <c r="L15" i="2" s="1"/>
  <c r="K14" i="2"/>
  <c r="L14" i="2" s="1"/>
  <c r="L13" i="2"/>
  <c r="K13" i="2"/>
  <c r="K12" i="2"/>
  <c r="L12" i="2" s="1"/>
  <c r="K11" i="2"/>
  <c r="L11" i="2" s="1"/>
  <c r="K10" i="2"/>
  <c r="L10" i="2" s="1"/>
  <c r="K9" i="2"/>
  <c r="L9" i="2" s="1"/>
  <c r="K8" i="2"/>
  <c r="L8" i="2" s="1"/>
  <c r="K7" i="2"/>
  <c r="L7" i="2" s="1"/>
  <c r="L6" i="2"/>
  <c r="K6" i="2"/>
  <c r="K5" i="2"/>
  <c r="L5" i="2" s="1"/>
  <c r="K4" i="2"/>
  <c r="L4" i="2" s="1"/>
</calcChain>
</file>

<file path=xl/sharedStrings.xml><?xml version="1.0" encoding="utf-8"?>
<sst xmlns="http://schemas.openxmlformats.org/spreadsheetml/2006/main" count="222" uniqueCount="122">
  <si>
    <t>Prepared by</t>
  </si>
  <si>
    <t>Gourvi Sharma</t>
  </si>
  <si>
    <t>Program</t>
  </si>
  <si>
    <t>Date</t>
  </si>
  <si>
    <t>Tools used</t>
  </si>
  <si>
    <t>Python (pandas, scikit-learn), Excel, Screener.in / TipRanks / SimplyWall.st data</t>
  </si>
  <si>
    <t>Method</t>
  </si>
  <si>
    <t>Logistic Regression | Financial Ratio Analysis | Risk Scoring</t>
  </si>
  <si>
    <t>Purpose</t>
  </si>
  <si>
    <t>Contents</t>
  </si>
  <si>
    <t>Raw + sourced financial ratios for 17 companies</t>
  </si>
  <si>
    <t>Regression equation, coefficients, key drivers of risk</t>
  </si>
  <si>
    <t>Ranked risk scores, sector view, watchlist</t>
  </si>
  <si>
    <t>Data sourcing notes, labeling rule, assumptions</t>
  </si>
  <si>
    <t>Company</t>
  </si>
  <si>
    <t>Sector</t>
  </si>
  <si>
    <t>Current Ratio</t>
  </si>
  <si>
    <t>Debt-to-Equity</t>
  </si>
  <si>
    <t>Interest Coverage Ratio</t>
  </si>
  <si>
    <t>ROE (%)</t>
  </si>
  <si>
    <t>ROA (%)</t>
  </si>
  <si>
    <t>Operating Profit Margin (%)</t>
  </si>
  <si>
    <t>Data Source</t>
  </si>
  <si>
    <t>Notes</t>
  </si>
  <si>
    <t>Risk Flags (out of 6)</t>
  </si>
  <si>
    <t>Risk Label (Y)</t>
  </si>
  <si>
    <t>DLF</t>
  </si>
  <si>
    <t>Real Estate</t>
  </si>
  <si>
    <t>Sourced</t>
  </si>
  <si>
    <t>Godrej Properties</t>
  </si>
  <si>
    <t>Oberoi Realty</t>
  </si>
  <si>
    <t>IRB Infrastructure</t>
  </si>
  <si>
    <t>Infra/Construction</t>
  </si>
  <si>
    <t>GMR Airports</t>
  </si>
  <si>
    <t>Sourced (distress case)</t>
  </si>
  <si>
    <t>Hindustan Unilever</t>
  </si>
  <si>
    <t>FMCG</t>
  </si>
  <si>
    <t>TipRanks / Alpha Spread, latest FY. Company is near debt-free. https://www.tipranks.com/stocks/in:hindunilvr/statistics</t>
  </si>
  <si>
    <t>Suzlon Energy</t>
  </si>
  <si>
    <t>Infra/Renewable</t>
  </si>
  <si>
    <t>Estimated</t>
  </si>
  <si>
    <t>Post-2023 balance-sheet turnaround (major deleveraging) is public knowledge; exact quarter not verified. Verify on screener.in before submission.</t>
  </si>
  <si>
    <t>Nestle India</t>
  </si>
  <si>
    <t>Well-documented small equity base drives unusually high ROE; exact figures not individually verified. Verify on screener.in.</t>
  </si>
  <si>
    <t>ITC</t>
  </si>
  <si>
    <t>Diversified, near debt-free, high-margin tobacco/FMCG mix is well documented; exact figures not individually verified. Verify on screener.in.</t>
  </si>
  <si>
    <t>Britannia</t>
  </si>
  <si>
    <t>Directionally consistent with public commentary; exact figures not individually verified. Verify on screener.in.</t>
  </si>
  <si>
    <t>Dabur</t>
  </si>
  <si>
    <t>Marico</t>
  </si>
  <si>
    <t>InterGlobe Aviation (IndiGo)</t>
  </si>
  <si>
    <t>Airlines</t>
  </si>
  <si>
    <t>High D/E driven by lease-liability accounting (Ind AS 116), not just borrowings - worth raising in interview. Not individually verified. Verify on screener.in.</t>
  </si>
  <si>
    <t>SpiceJet</t>
  </si>
  <si>
    <t>Estimated (distress case)</t>
  </si>
  <si>
    <t>Long-documented negative net worth and going-concern stress; D/E not meaningful (N/M). Not individually verified. Verify on screener.in.</t>
  </si>
  <si>
    <t>Vodafone Idea</t>
  </si>
  <si>
    <t>Telecom</t>
  </si>
  <si>
    <t>Yes Bank</t>
  </si>
  <si>
    <t>Banking</t>
  </si>
  <si>
    <t>Estimated (structural caveat)</t>
  </si>
  <si>
    <t>Banks use CAR/NPA-based risk metrics, not standard Debt-to-Equity/Current Ratio - flag this as a modeling limitation in interview rather than forcing the numbers. Not individually verified.</t>
  </si>
  <si>
    <t>N/A</t>
  </si>
  <si>
    <t>Excluded (Bank – different ratio framework)</t>
  </si>
  <si>
    <t>JSW Steel</t>
  </si>
  <si>
    <t>Industrials/Steel</t>
  </si>
  <si>
    <t>Cyclical, moderately leveraged steelmaker profile is well documented; exact figures not individually verified. Verify on screener.in.</t>
  </si>
  <si>
    <t>How this data was built</t>
  </si>
  <si>
    <t>Green rows = ratios pulled and cross-checked from live financial data sources (TipRanks / SimplyWall.st), with the source URL in Notes.</t>
  </si>
  <si>
    <t>Yellow rows = directionally realistic estimates based on well-documented, publicly known company/sector patterns (e.g. FMCG names are widely known to run near-debt-free with high ROE; Vodafone Idea/SpiceJet/GMR are widely documented distress cases). These are NOT individually verified line-by-line and should be checked on screener.in before you rely on them for anything beyond this practice project.</t>
  </si>
  <si>
    <t>Why some cells are blank / marked N/M (not meaningful): a few companies (GMR Airports, SpiceJet, Vodafone Idea) have NEGATIVE shareholder equity due to accumulated losses. Dividing debt by a negative equity number produces a meaningless (or even positive-looking) ratio - so these are left blank rather than showing a misleading number. This is itself a useful risk signal you can point to.</t>
  </si>
  <si>
    <t>Yes Bank is included as a deliberate edge case: banks report under a different framework (Capital Adequacy Ratio, Gross/Net NPA, not Debt-to-Equity or Current Ratio, since deposits are their core 'liability'). Flagging this as a modeling limitation, rather than forcing bank data into a non-bank ratio framework, is a genuine, defensible analytical point for interview.</t>
  </si>
  <si>
    <t>Ratio definitions used:</t>
  </si>
  <si>
    <t xml:space="preserve">  Current Ratio = Current Assets / Current Liabilities</t>
  </si>
  <si>
    <t xml:space="preserve">  Debt-to-Equity = Total Debt / Total Shareholders' Equity</t>
  </si>
  <si>
    <t xml:space="preserve">  Interest Coverage Ratio = EBIT (Operating Profit) / Interest Expense</t>
  </si>
  <si>
    <t xml:space="preserve">  ROE = Net Profit / Shareholders' Equity</t>
  </si>
  <si>
    <t xml:space="preserve">  ROA = Net Profit / Total Assets</t>
  </si>
  <si>
    <t xml:space="preserve">  Operating Profit Margin = Operating Profit / Revenue</t>
  </si>
  <si>
    <t>A company is flagged on each of 6 checks: Current Ratio &lt; 1, Debt-to-Equity &gt; 1 (or blank/negative equity), Interest Coverage &lt; 2, ROE &lt; 5%, ROA &lt; 2%, Operating Profit Margin &lt; 5%.</t>
  </si>
  <si>
    <t>If a company trips 3 or more of these 6 checks -&gt; Risk Label = High Risk. Otherwise -&gt; Low Risk.</t>
  </si>
  <si>
    <t>Yes Bank is excluded from labeling: banks are assessed on Capital Adequacy Ratio / NPA levels, not these ratios.</t>
  </si>
  <si>
    <t>The initial model showed complete separation (probabilities pinned near 0% or 100%) because the Risk Label was rule-derived from the same ratios used as inputs. Applying L2 regularization (C=0.1 in scikit-learn's LogisticRegression) pulls the coefficients back from extreme values, producing more graded, realistic-looking probabilities without changing which companies are classified High vs Low Risk.</t>
  </si>
  <si>
    <t>Companies Scored</t>
  </si>
  <si>
    <t>High Risk Flagged</t>
  </si>
  <si>
    <t>Low Risk</t>
  </si>
  <si>
    <t>Avg Predicted Risk %</t>
  </si>
  <si>
    <t>Risk Label</t>
  </si>
  <si>
    <t>Predicted Risk Probability (%)</t>
  </si>
  <si>
    <t>High Risk</t>
  </si>
  <si>
    <t>The Regression Equation</t>
  </si>
  <si>
    <t>log-odds(High Risk) = -3.50  +  (-0.033 × Current Ratio)  +  (0.040 × Debt-to-Equity)
  + (-0.145 × Interest Coverage)  +  (-0.203 × ROE)  +  (-0.127 × ROA)  +  (0.124 × Operating Margin)</t>
  </si>
  <si>
    <t>Coefficient Table (fit with L2 regularization, C=0.1)</t>
  </si>
  <si>
    <t>Ratio</t>
  </si>
  <si>
    <t>Coefficient</t>
  </si>
  <si>
    <t>Odds Ratio</t>
  </si>
  <si>
    <t>Direction</t>
  </si>
  <si>
    <t>Influence (|Coefficient|)</t>
  </si>
  <si>
    <t>↓ Reduces Risk</t>
  </si>
  <si>
    <t>↑ Increases Risk</t>
  </si>
  <si>
    <t>Note: Operating Profit Margin shows a counterintuitive positive coefficient — likely due to overlap between high- and low-risk companies on this ratio in a 16-company sample. With more data, this would be checked using VIF (variance inflation factor) and is expected to correct.</t>
  </si>
  <si>
    <t xml:space="preserve">                Credit Risk Scoring Model</t>
  </si>
  <si>
    <t xml:space="preserve">           Predicting Corporate Loan Default Risk from Financial Statement Ratios</t>
  </si>
  <si>
    <t>PGDM - Big Data Analytics, Goa Institute of Management</t>
  </si>
  <si>
    <t>10th September 2026</t>
  </si>
  <si>
    <t>A working model that screens companies for credit/default risk using six standard financial-statement ratios, the same fundamentals-first approach used in commercial credit and risk analytics,built end-to-end from ratio sourcing through to a scored, ranked risk dashboard.</t>
  </si>
  <si>
    <t>Company Ratios</t>
  </si>
  <si>
    <t>Model Summary</t>
  </si>
  <si>
    <t>Risk Dashboard</t>
  </si>
  <si>
    <t>Legend and method</t>
  </si>
  <si>
    <t>Introduction</t>
  </si>
  <si>
    <t xml:space="preserve">FMCG </t>
  </si>
  <si>
    <t>Industrial/steel</t>
  </si>
  <si>
    <t xml:space="preserve">TipRanks, FY Dec-2024 (consolidated). </t>
  </si>
  <si>
    <t xml:space="preserve">SimplyWall.st: negative shareholder equity (~ -INR 7.3B), so D/E and ROE are not meaningful (N/M) - itself a strong high-risk signal. Interest coverage 0.5x. </t>
  </si>
  <si>
    <t xml:space="preserve">Long-documented negative net worth from accumulated losses and AGR dues; D/E not meaningful (N/M). Not individually verified. </t>
  </si>
  <si>
    <t xml:space="preserve">                      Credit Risk Dashboard - Model Output Summary (Regularized, C=0.1)</t>
  </si>
  <si>
    <t>• Vodafone Idea (100.0% risk) : Negative net worth from accumulated losses; deeply negative ROE/ROA. Highest-priority flag.</t>
  </si>
  <si>
    <t>• GMR Airports (99.99% risk) : Negative shareholder equity; interest coverage below 1x signals difficulty servicing debt.</t>
  </si>
  <si>
    <t>Model Summary:  Logistic Regression</t>
  </si>
  <si>
    <t>⚠ Analyst Watchlist: Highest Priority Names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</si>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</sst>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1" x14ac:knownFonts="1">
    <font>
      <sz val="11"/>
      <color theme="1"/>
      <name val="Calibri"/>
      <family val="2"/>
      <charset val="1"/>
    </font>
    <font>
      <b/>
      <sz val="22"/>
      <color rgb="FF1F4E78"/>
      <name val="Arial"/>
      <charset val="1"/>
    </font>
    <font>
      <i/>
      <sz val="12"/>
      <color rgb="FF666666"/>
      <name val="Arial"/>
      <charset val="1"/>
    </font>
    <font>
      <sz val="10"/>
      <name val="Arial"/>
      <charset val="1"/>
    </font>
    <font>
      <b/>
      <sz val="14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b/>
      <sz val="13"/>
      <name val="Arial"/>
      <charset val="1"/>
    </font>
    <font>
      <b/>
      <sz val="9"/>
      <color rgb="FFFFFFFF"/>
      <name val="Arial"/>
      <charset val="1"/>
    </font>
    <font>
      <b/>
      <sz val="11"/>
      <color rgb="FFFFFFFF"/>
      <name val="Cambria"/>
      <charset val="1"/>
    </font>
    <font>
      <b/>
      <sz val="11"/>
      <color rgb="FFC00000"/>
      <name val="Arial"/>
      <charset val="1"/>
    </font>
    <font>
      <sz val="9.5"/>
      <name val="Arial"/>
      <charset val="1"/>
    </font>
    <font>
      <b/>
      <sz val="11"/>
      <name val="Arial"/>
      <charset val="1"/>
    </font>
    <font>
      <sz val="10"/>
      <name val="Consolas"/>
      <charset val="1"/>
    </font>
    <font>
      <b/>
      <sz val="10"/>
      <color rgb="FF38761D"/>
      <name val="Arial"/>
      <charset val="1"/>
    </font>
    <font>
      <b/>
      <sz val="10"/>
      <color rgb="FFC00000"/>
      <name val="Arial"/>
      <charset val="1"/>
    </font>
    <font>
      <i/>
      <sz val="9"/>
      <color rgb="FF666666"/>
      <name val="Arial"/>
      <charset val="1"/>
    </font>
    <font>
      <b/>
      <sz val="22"/>
      <color rgb="FF002060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u/>
      <sz val="10"/>
      <color rgb="FF1155CC"/>
      <name val="Arial"/>
      <family val="2"/>
    </font>
    <font>
      <b/>
      <i/>
      <sz val="12"/>
      <color theme="1"/>
      <name val="Arial"/>
      <family val="2"/>
    </font>
    <font>
      <b/>
      <sz val="10"/>
      <color rgb="FFFFFFFF"/>
      <name val="Arial"/>
      <family val="2"/>
    </font>
    <font>
      <b/>
      <sz val="17"/>
      <name val="Arial"/>
      <family val="2"/>
    </font>
    <font>
      <sz val="9.5"/>
      <name val="Arial"/>
      <family val="2"/>
    </font>
    <font>
      <b/>
      <sz val="14"/>
      <color theme="1"/>
      <name val="Arial"/>
      <family val="2"/>
    </font>
    <font>
      <b/>
      <sz val="13"/>
      <color rgb="FFC00000"/>
      <name val="Arial"/>
      <family val="2"/>
    </font>
    <font>
      <sz val="10.5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D3"/>
        <bgColor rgb="FFE0E0E0"/>
      </patternFill>
    </fill>
    <fill>
      <patternFill patternType="solid">
        <fgColor rgb="FFFFF2CC"/>
        <bgColor rgb="FFFCE5E5"/>
      </patternFill>
    </fill>
    <fill>
      <patternFill patternType="solid">
        <fgColor rgb="FFF4CCCC"/>
        <bgColor rgb="FFD9D9D9"/>
      </patternFill>
    </fill>
    <fill>
      <patternFill patternType="solid">
        <fgColor rgb="FFFCE5E5"/>
        <bgColor rgb="FFF3F3F3"/>
      </patternFill>
    </fill>
    <fill>
      <patternFill patternType="solid">
        <fgColor rgb="FFF3F3F3"/>
        <bgColor rgb="FFFFFFF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rgb="FFF3F3F3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2" fontId="3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2" fontId="3" fillId="4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5" borderId="1" xfId="0" applyFill="1" applyBorder="1"/>
    <xf numFmtId="2" fontId="0" fillId="5" borderId="1" xfId="0" applyNumberFormat="1" applyFill="1" applyBorder="1"/>
    <xf numFmtId="0" fontId="0" fillId="3" borderId="1" xfId="0" applyFill="1" applyBorder="1"/>
    <xf numFmtId="2" fontId="0" fillId="3" borderId="1" xfId="0" applyNumberFormat="1" applyFill="1" applyBorder="1"/>
    <xf numFmtId="0" fontId="9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14" fillId="0" borderId="1" xfId="0" applyFont="1" applyBorder="1"/>
    <xf numFmtId="0" fontId="15" fillId="0" borderId="1" xfId="0" applyFont="1" applyBorder="1"/>
    <xf numFmtId="0" fontId="5" fillId="2" borderId="0" xfId="0" applyFont="1" applyFill="1" applyAlignment="1">
      <alignment horizontal="center" vertical="center" wrapText="1"/>
    </xf>
    <xf numFmtId="0" fontId="19" fillId="0" borderId="0" xfId="0" applyFont="1"/>
    <xf numFmtId="0" fontId="20" fillId="3" borderId="1" xfId="0" applyFont="1" applyFill="1" applyBorder="1" applyAlignment="1">
      <alignment horizontal="left" vertical="center"/>
    </xf>
    <xf numFmtId="0" fontId="20" fillId="4" borderId="1" xfId="0" applyFont="1" applyFill="1" applyBorder="1" applyAlignment="1">
      <alignment horizontal="left" vertical="center"/>
    </xf>
    <xf numFmtId="2" fontId="20" fillId="4" borderId="1" xfId="0" applyNumberFormat="1" applyFont="1" applyFill="1" applyBorder="1" applyAlignment="1">
      <alignment horizontal="center" vertical="center"/>
    </xf>
    <xf numFmtId="0" fontId="23" fillId="0" borderId="0" xfId="0" applyFont="1"/>
    <xf numFmtId="0" fontId="25" fillId="2" borderId="0" xfId="0" applyFont="1" applyFill="1" applyAlignment="1">
      <alignment horizontal="center" vertical="center" wrapText="1"/>
    </xf>
    <xf numFmtId="0" fontId="21" fillId="4" borderId="1" xfId="0" applyFont="1" applyFill="1" applyBorder="1" applyAlignment="1">
      <alignment horizontal="left" vertical="center"/>
    </xf>
    <xf numFmtId="0" fontId="21" fillId="0" borderId="1" xfId="0" applyFont="1" applyBorder="1" applyAlignment="1">
      <alignment horizontal="left" vertical="center" wrapText="1"/>
    </xf>
    <xf numFmtId="0" fontId="26" fillId="0" borderId="0" xfId="0" applyFont="1"/>
    <xf numFmtId="0" fontId="3" fillId="8" borderId="3" xfId="0" applyFont="1" applyFill="1" applyBorder="1" applyAlignment="1">
      <alignment vertical="top" wrapText="1"/>
    </xf>
    <xf numFmtId="0" fontId="22" fillId="0" borderId="0" xfId="0" applyFont="1" applyAlignment="1">
      <alignment vertical="top" wrapText="1"/>
    </xf>
    <xf numFmtId="0" fontId="7" fillId="0" borderId="0" xfId="0" applyFont="1" applyAlignment="1">
      <alignment horizontal="center"/>
    </xf>
    <xf numFmtId="0" fontId="0" fillId="10" borderId="0" xfId="0" applyFill="1"/>
    <xf numFmtId="0" fontId="20" fillId="0" borderId="0" xfId="0" applyFont="1"/>
    <xf numFmtId="0" fontId="24" fillId="8" borderId="0" xfId="0" applyFont="1" applyFill="1"/>
    <xf numFmtId="0" fontId="3" fillId="0" borderId="0" xfId="0" applyFont="1"/>
    <xf numFmtId="0" fontId="2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7" fillId="0" borderId="0" xfId="0" applyFont="1"/>
    <xf numFmtId="0" fontId="1" fillId="0" borderId="0" xfId="0" applyFont="1"/>
    <xf numFmtId="0" fontId="18" fillId="0" borderId="0" xfId="0" applyFont="1"/>
    <xf numFmtId="0" fontId="2" fillId="0" borderId="0" xfId="0" applyFont="1"/>
    <xf numFmtId="0" fontId="21" fillId="0" borderId="0" xfId="0" applyFont="1"/>
    <xf numFmtId="0" fontId="26" fillId="0" borderId="0" xfId="0" applyFont="1" applyAlignment="1">
      <alignment horizontal="center"/>
    </xf>
    <xf numFmtId="0" fontId="30" fillId="6" borderId="4" xfId="0" applyFont="1" applyFill="1" applyBorder="1" applyAlignment="1">
      <alignment vertical="top" wrapText="1"/>
    </xf>
    <xf numFmtId="0" fontId="30" fillId="6" borderId="5" xfId="0" applyFont="1" applyFill="1" applyBorder="1" applyAlignment="1">
      <alignment vertical="top" wrapText="1"/>
    </xf>
    <xf numFmtId="0" fontId="30" fillId="6" borderId="6" xfId="0" applyFont="1" applyFill="1" applyBorder="1" applyAlignment="1">
      <alignment vertical="top" wrapText="1"/>
    </xf>
    <xf numFmtId="0" fontId="30" fillId="6" borderId="7" xfId="0" applyFont="1" applyFill="1" applyBorder="1" applyAlignment="1">
      <alignment vertical="top" wrapText="1"/>
    </xf>
    <xf numFmtId="0" fontId="30" fillId="6" borderId="2" xfId="0" applyFont="1" applyFill="1" applyBorder="1" applyAlignment="1">
      <alignment vertical="top" wrapText="1"/>
    </xf>
    <xf numFmtId="0" fontId="30" fillId="6" borderId="8" xfId="0" applyFont="1" applyFill="1" applyBorder="1" applyAlignment="1">
      <alignment vertical="top" wrapText="1"/>
    </xf>
    <xf numFmtId="0" fontId="29" fillId="6" borderId="3" xfId="0" applyFont="1" applyFill="1" applyBorder="1"/>
    <xf numFmtId="0" fontId="10" fillId="9" borderId="0" xfId="0" applyFont="1" applyFill="1"/>
    <xf numFmtId="0" fontId="27" fillId="9" borderId="0" xfId="0" applyFont="1" applyFill="1" applyAlignment="1">
      <alignment vertical="top" wrapText="1"/>
    </xf>
    <xf numFmtId="0" fontId="11" fillId="9" borderId="0" xfId="0" applyFont="1" applyFill="1" applyAlignment="1">
      <alignment vertical="top" wrapText="1"/>
    </xf>
    <xf numFmtId="0" fontId="28" fillId="0" borderId="0" xfId="0" applyFont="1" applyAlignment="1">
      <alignment horizontal="center"/>
    </xf>
    <xf numFmtId="0" fontId="12" fillId="0" borderId="0" xfId="0" applyFont="1"/>
    <xf numFmtId="0" fontId="13" fillId="7" borderId="0" xfId="0" applyFont="1" applyFill="1" applyAlignment="1">
      <alignment vertical="top" wrapText="1"/>
    </xf>
    <xf numFmtId="0" fontId="16" fillId="0" borderId="0" xfId="0" applyFont="1" applyAlignment="1">
      <alignment vertical="top" wrapText="1"/>
    </xf>
  </cellXfs>
  <cellStyles count="1">
    <cellStyle name="Normal" xfId="0" builtinId="0"/>
  </cellStyles>
  <dxfs count="3">
    <dxf>
      <fill>
        <patternFill>
          <bgColor rgb="FFE0E0E0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38761D"/>
      <rgbColor rgb="FF000080"/>
      <rgbColor rgb="FF808000"/>
      <rgbColor rgb="FF800080"/>
      <rgbColor rgb="FF008080"/>
      <rgbColor rgb="FFB7B7B7"/>
      <rgbColor rgb="FF4F81BD"/>
      <rgbColor rgb="FF9999FF"/>
      <rgbColor rgb="FFC0504D"/>
      <rgbColor rgb="FFFFF2CC"/>
      <rgbColor rgb="FFF3F3F3"/>
      <rgbColor rgb="FF660066"/>
      <rgbColor rgb="FFFF8080"/>
      <rgbColor rgb="FF1155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0E0"/>
      <rgbColor rgb="FFD9EAD3"/>
      <rgbColor rgb="FFFCE5E5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B3B3B3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Predicted Risk Probability by Company (Regularized Model)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'Risk Dashboard'!$D$7</c:f>
              <c:strCache>
                <c:ptCount val="1"/>
                <c:pt idx="0">
                  <c:v>Predicted Risk Probability (%)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'Risk Dashboard'!$A$8:$A$23</c:f>
              <c:strCache>
                <c:ptCount val="16"/>
                <c:pt idx="0">
                  <c:v>Vodafone Idea</c:v>
                </c:pt>
                <c:pt idx="1">
                  <c:v>GMR Airports</c:v>
                </c:pt>
                <c:pt idx="2">
                  <c:v>SpiceJet</c:v>
                </c:pt>
                <c:pt idx="3">
                  <c:v>IRB Infrastructure</c:v>
                </c:pt>
                <c:pt idx="4">
                  <c:v>Oberoi Realty</c:v>
                </c:pt>
                <c:pt idx="5">
                  <c:v>Godrej Properties</c:v>
                </c:pt>
                <c:pt idx="6">
                  <c:v>DLF</c:v>
                </c:pt>
                <c:pt idx="7">
                  <c:v>JSW Steel</c:v>
                </c:pt>
                <c:pt idx="8">
                  <c:v>Suzlon Energy</c:v>
                </c:pt>
                <c:pt idx="9">
                  <c:v>Hindustan Unilever</c:v>
                </c:pt>
                <c:pt idx="10">
                  <c:v>Nestle India</c:v>
                </c:pt>
                <c:pt idx="11">
                  <c:v>ITC</c:v>
                </c:pt>
                <c:pt idx="12">
                  <c:v>Marico</c:v>
                </c:pt>
                <c:pt idx="13">
                  <c:v>Dabur</c:v>
                </c:pt>
                <c:pt idx="14">
                  <c:v>Britannia</c:v>
                </c:pt>
                <c:pt idx="15">
                  <c:v>InterGlobe Aviation (IndiGo)</c:v>
                </c:pt>
              </c:strCache>
            </c:strRef>
          </c:cat>
          <c:val>
            <c:numRef>
              <c:f>'Risk Dashboard'!$D$8:$D$23</c:f>
              <c:numCache>
                <c:formatCode>0.00</c:formatCode>
                <c:ptCount val="16"/>
                <c:pt idx="0">
                  <c:v>99.99</c:v>
                </c:pt>
                <c:pt idx="1">
                  <c:v>99.99</c:v>
                </c:pt>
                <c:pt idx="2">
                  <c:v>97.78</c:v>
                </c:pt>
                <c:pt idx="3">
                  <c:v>78.569999999999993</c:v>
                </c:pt>
                <c:pt idx="4">
                  <c:v>8.76</c:v>
                </c:pt>
                <c:pt idx="5">
                  <c:v>7.91</c:v>
                </c:pt>
                <c:pt idx="6">
                  <c:v>6.46</c:v>
                </c:pt>
                <c:pt idx="7">
                  <c:v>0.5</c:v>
                </c:pt>
                <c:pt idx="8">
                  <c:v>0.03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DD-4649-8BFC-0B6C0C0F2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9083"/>
        <c:axId val="2071582"/>
      </c:barChart>
      <c:catAx>
        <c:axId val="11790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Company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71582"/>
        <c:crosses val="autoZero"/>
        <c:auto val="1"/>
        <c:lblAlgn val="ctr"/>
        <c:lblOffset val="100"/>
        <c:noMultiLvlLbl val="0"/>
      </c:catAx>
      <c:valAx>
        <c:axId val="207158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Risk Probability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790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Risk Split by Sector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'Risk Dashboard'!$B$27</c:f>
              <c:strCache>
                <c:ptCount val="1"/>
                <c:pt idx="0">
                  <c:v>High Risk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'Risk Dashboard'!$A$28:$A$34</c:f>
              <c:strCache>
                <c:ptCount val="7"/>
                <c:pt idx="0">
                  <c:v>Airlines</c:v>
                </c:pt>
                <c:pt idx="1">
                  <c:v>FMCG</c:v>
                </c:pt>
                <c:pt idx="2">
                  <c:v>Industrials/Steel</c:v>
                </c:pt>
                <c:pt idx="3">
                  <c:v>Infra/Construction</c:v>
                </c:pt>
                <c:pt idx="4">
                  <c:v>Infra/Renewable</c:v>
                </c:pt>
                <c:pt idx="5">
                  <c:v>Real Estate</c:v>
                </c:pt>
                <c:pt idx="6">
                  <c:v>Telecom</c:v>
                </c:pt>
              </c:strCache>
            </c:strRef>
          </c:cat>
          <c:val>
            <c:numRef>
              <c:f>'Risk Dashboard'!$B$28:$B$34</c:f>
              <c:numCache>
                <c:formatCode>General</c:formatCode>
                <c:ptCount val="7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1E-48A9-9E9C-73CBD38F87E7}"/>
            </c:ext>
          </c:extLst>
        </c:ser>
        <c:ser>
          <c:idx val="1"/>
          <c:order val="1"/>
          <c:tx>
            <c:strRef>
              <c:f>'Risk Dashboard'!$C$27</c:f>
              <c:strCache>
                <c:ptCount val="1"/>
                <c:pt idx="0">
                  <c:v>Low Risk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'Risk Dashboard'!$A$28:$A$34</c:f>
              <c:strCache>
                <c:ptCount val="7"/>
                <c:pt idx="0">
                  <c:v>Airlines</c:v>
                </c:pt>
                <c:pt idx="1">
                  <c:v>FMCG</c:v>
                </c:pt>
                <c:pt idx="2">
                  <c:v>Industrials/Steel</c:v>
                </c:pt>
                <c:pt idx="3">
                  <c:v>Infra/Construction</c:v>
                </c:pt>
                <c:pt idx="4">
                  <c:v>Infra/Renewable</c:v>
                </c:pt>
                <c:pt idx="5">
                  <c:v>Real Estate</c:v>
                </c:pt>
                <c:pt idx="6">
                  <c:v>Telecom</c:v>
                </c:pt>
              </c:strCache>
            </c:strRef>
          </c:cat>
          <c:val>
            <c:numRef>
              <c:f>'Risk Dashboard'!$C$28:$C$34</c:f>
              <c:numCache>
                <c:formatCode>General</c:formatCode>
                <c:ptCount val="7"/>
                <c:pt idx="0">
                  <c:v>1</c:v>
                </c:pt>
                <c:pt idx="1">
                  <c:v>6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1E-48A9-9E9C-73CBD38F8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415189"/>
        <c:axId val="33914963"/>
      </c:barChart>
      <c:catAx>
        <c:axId val="804151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914963"/>
        <c:crosses val="autoZero"/>
        <c:auto val="1"/>
        <c:lblAlgn val="ctr"/>
        <c:lblOffset val="100"/>
        <c:noMultiLvlLbl val="0"/>
      </c:catAx>
      <c:valAx>
        <c:axId val="3391496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4151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accent2">
        <a:lumMod val="20000"/>
        <a:lumOff val="80000"/>
      </a:schemeClr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Which Ratios Drive Risk Most? (Tornado Chart)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'Model Summary'!$H$9</c:f>
              <c:strCache>
                <c:ptCount val="1"/>
                <c:pt idx="0">
                  <c:v>Influence (|Coefficient|)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'Model Summary'!$G$10:$G$15</c:f>
              <c:strCache>
                <c:ptCount val="6"/>
                <c:pt idx="0">
                  <c:v>Current Ratio</c:v>
                </c:pt>
                <c:pt idx="1">
                  <c:v>Debt-to-Equity</c:v>
                </c:pt>
                <c:pt idx="2">
                  <c:v>Operating Profit Margin (%)</c:v>
                </c:pt>
                <c:pt idx="3">
                  <c:v>ROA (%)</c:v>
                </c:pt>
                <c:pt idx="4">
                  <c:v>Interest Coverage Ratio</c:v>
                </c:pt>
                <c:pt idx="5">
                  <c:v>ROE (%)</c:v>
                </c:pt>
              </c:strCache>
            </c:strRef>
          </c:cat>
          <c:val>
            <c:numRef>
              <c:f>'Model Summary'!$H$10:$H$15</c:f>
              <c:numCache>
                <c:formatCode>General</c:formatCode>
                <c:ptCount val="6"/>
                <c:pt idx="0">
                  <c:v>3.3500000000000002E-2</c:v>
                </c:pt>
                <c:pt idx="1">
                  <c:v>4.02E-2</c:v>
                </c:pt>
                <c:pt idx="2">
                  <c:v>0.1236</c:v>
                </c:pt>
                <c:pt idx="3">
                  <c:v>0.12740000000000001</c:v>
                </c:pt>
                <c:pt idx="4">
                  <c:v>0.1447</c:v>
                </c:pt>
                <c:pt idx="5">
                  <c:v>0.2031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E6-4BD5-86E5-DD922C7AD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0020"/>
        <c:axId val="53987335"/>
      </c:barChart>
      <c:catAx>
        <c:axId val="412002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Influence on Risk (|Coefficient|)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987335"/>
        <c:crosses val="autoZero"/>
        <c:auto val="1"/>
        <c:lblAlgn val="ctr"/>
        <c:lblOffset val="100"/>
        <c:noMultiLvlLbl val="0"/>
      </c:catAx>
      <c:valAx>
        <c:axId val="53987335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Ratio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200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5</xdr:row>
      <xdr:rowOff>130680</xdr:rowOff>
    </xdr:from>
    <xdr:to>
      <xdr:col>20</xdr:col>
      <xdr:colOff>186480</xdr:colOff>
      <xdr:row>28</xdr:row>
      <xdr:rowOff>68760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26</xdr:row>
      <xdr:rowOff>0</xdr:rowOff>
    </xdr:from>
    <xdr:to>
      <xdr:col>14</xdr:col>
      <xdr:colOff>255960</xdr:colOff>
      <xdr:row>44</xdr:row>
      <xdr:rowOff>140402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160560</xdr:rowOff>
    </xdr:from>
    <xdr:to>
      <xdr:col>7</xdr:col>
      <xdr:colOff>76090</xdr:colOff>
      <xdr:row>37</xdr:row>
      <xdr:rowOff>119880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4ACFAB-C9E6-4F30-B404-86C37594B9A7}" name="Table3" displayName="Table3" ref="G9:H15" totalsRowShown="0">
  <autoFilter ref="G9:H15" xr:uid="{104ACFAB-C9E6-4F30-B404-86C37594B9A7}"/>
  <tableColumns count="2">
    <tableColumn id="1" xr3:uid="{736ED41E-348E-4888-B21F-154C4414814E}" name="Ratio"/>
    <tableColumn id="2" xr3:uid="{9228BB38-9C22-42C3-ADC4-A28D7019E47B}" name="Influence (|Coefficient|)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2" tint="-9.9978637043366805E-2"/>
  </sheetPr>
  <dimension ref="B2:H21"/>
  <sheetViews>
    <sheetView showGridLines="0" tabSelected="1" zoomScaleNormal="100" workbookViewId="0">
      <selection activeCell="C9" sqref="C9:H9"/>
    </sheetView>
  </sheetViews>
  <sheetFormatPr defaultColWidth="8.6328125" defaultRowHeight="14.5" x14ac:dyDescent="0.35"/>
  <cols>
    <col min="1" max="1" width="3" customWidth="1"/>
    <col min="2" max="2" width="19.36328125" customWidth="1"/>
    <col min="3" max="3" width="14" customWidth="1"/>
    <col min="4" max="7" width="10" customWidth="1"/>
    <col min="8" max="8" width="14" customWidth="1"/>
  </cols>
  <sheetData>
    <row r="2" spans="2:8" ht="28" x14ac:dyDescent="0.6">
      <c r="B2" s="41" t="s">
        <v>101</v>
      </c>
      <c r="C2" s="42"/>
      <c r="D2" s="42"/>
      <c r="E2" s="42"/>
      <c r="F2" s="42"/>
      <c r="G2" s="42"/>
      <c r="H2" s="42"/>
    </row>
    <row r="3" spans="2:8" ht="15.5" x14ac:dyDescent="0.35">
      <c r="B3" s="43" t="s">
        <v>102</v>
      </c>
      <c r="C3" s="44"/>
      <c r="D3" s="44"/>
      <c r="E3" s="44"/>
      <c r="F3" s="44"/>
      <c r="G3" s="44"/>
      <c r="H3" s="44"/>
    </row>
    <row r="5" spans="2:8" ht="15.5" x14ac:dyDescent="0.35">
      <c r="B5" s="37" t="s">
        <v>110</v>
      </c>
      <c r="C5" s="37"/>
      <c r="D5" s="37"/>
      <c r="E5" s="37"/>
      <c r="F5" s="37"/>
      <c r="G5" s="37"/>
      <c r="H5" s="37"/>
    </row>
    <row r="6" spans="2:8" x14ac:dyDescent="0.35">
      <c r="B6" s="23" t="s">
        <v>0</v>
      </c>
      <c r="C6" s="38" t="s">
        <v>1</v>
      </c>
      <c r="D6" s="38"/>
      <c r="E6" s="38"/>
      <c r="F6" s="38"/>
      <c r="G6" s="38"/>
      <c r="H6" s="38"/>
    </row>
    <row r="7" spans="2:8" x14ac:dyDescent="0.35">
      <c r="B7" s="23" t="s">
        <v>2</v>
      </c>
      <c r="C7" s="45" t="s">
        <v>103</v>
      </c>
      <c r="D7" s="38"/>
      <c r="E7" s="38"/>
      <c r="F7" s="38"/>
      <c r="G7" s="38"/>
      <c r="H7" s="38"/>
    </row>
    <row r="8" spans="2:8" x14ac:dyDescent="0.35">
      <c r="B8" s="23" t="s">
        <v>3</v>
      </c>
      <c r="C8" s="45" t="s">
        <v>104</v>
      </c>
      <c r="D8" s="38"/>
      <c r="E8" s="38"/>
      <c r="F8" s="38"/>
      <c r="G8" s="38"/>
      <c r="H8" s="38"/>
    </row>
    <row r="9" spans="2:8" x14ac:dyDescent="0.35">
      <c r="B9" s="23" t="s">
        <v>4</v>
      </c>
      <c r="C9" s="38" t="s">
        <v>5</v>
      </c>
      <c r="D9" s="38"/>
      <c r="E9" s="38"/>
      <c r="F9" s="38"/>
      <c r="G9" s="38"/>
      <c r="H9" s="38"/>
    </row>
    <row r="10" spans="2:8" x14ac:dyDescent="0.35">
      <c r="B10" s="23" t="s">
        <v>6</v>
      </c>
      <c r="C10" s="38" t="s">
        <v>7</v>
      </c>
      <c r="D10" s="38"/>
      <c r="E10" s="38"/>
      <c r="F10" s="38"/>
      <c r="G10" s="38"/>
      <c r="H10" s="38"/>
    </row>
    <row r="12" spans="2:8" ht="15.5" x14ac:dyDescent="0.35">
      <c r="B12" s="37" t="s">
        <v>8</v>
      </c>
      <c r="C12" s="37"/>
      <c r="D12" s="37"/>
      <c r="E12" s="37"/>
      <c r="F12" s="37"/>
      <c r="G12" s="37"/>
      <c r="H12" s="37"/>
    </row>
    <row r="13" spans="2:8" ht="15" customHeight="1" x14ac:dyDescent="0.35">
      <c r="B13" s="39" t="s">
        <v>105</v>
      </c>
      <c r="C13" s="40"/>
      <c r="D13" s="40"/>
      <c r="E13" s="40"/>
      <c r="F13" s="40"/>
      <c r="G13" s="40"/>
      <c r="H13" s="40"/>
    </row>
    <row r="14" spans="2:8" x14ac:dyDescent="0.35">
      <c r="B14" s="40"/>
      <c r="C14" s="40"/>
      <c r="D14" s="40"/>
      <c r="E14" s="40"/>
      <c r="F14" s="40"/>
      <c r="G14" s="40"/>
      <c r="H14" s="40"/>
    </row>
    <row r="15" spans="2:8" x14ac:dyDescent="0.35">
      <c r="B15" s="40"/>
      <c r="C15" s="40"/>
      <c r="D15" s="40"/>
      <c r="E15" s="40"/>
      <c r="F15" s="40"/>
      <c r="G15" s="40"/>
      <c r="H15" s="40"/>
    </row>
    <row r="17" spans="2:8" ht="15.5" x14ac:dyDescent="0.35">
      <c r="B17" s="37" t="s">
        <v>9</v>
      </c>
      <c r="C17" s="37"/>
      <c r="D17" s="37"/>
      <c r="E17" s="37"/>
      <c r="F17" s="37"/>
      <c r="G17" s="37"/>
      <c r="H17" s="37"/>
    </row>
    <row r="18" spans="2:8" x14ac:dyDescent="0.35">
      <c r="B18" s="27" t="s">
        <v>106</v>
      </c>
      <c r="C18" s="36" t="s">
        <v>10</v>
      </c>
      <c r="D18" s="36"/>
      <c r="E18" s="36"/>
      <c r="F18" s="36"/>
      <c r="G18" s="36"/>
      <c r="H18" s="36"/>
    </row>
    <row r="19" spans="2:8" x14ac:dyDescent="0.35">
      <c r="B19" s="27" t="s">
        <v>107</v>
      </c>
      <c r="C19" s="36" t="s">
        <v>11</v>
      </c>
      <c r="D19" s="36"/>
      <c r="E19" s="36"/>
      <c r="F19" s="36"/>
      <c r="G19" s="36"/>
      <c r="H19" s="36"/>
    </row>
    <row r="20" spans="2:8" x14ac:dyDescent="0.35">
      <c r="B20" s="27" t="s">
        <v>108</v>
      </c>
      <c r="C20" s="36" t="s">
        <v>12</v>
      </c>
      <c r="D20" s="36"/>
      <c r="E20" s="36"/>
      <c r="F20" s="36"/>
      <c r="G20" s="36"/>
      <c r="H20" s="36"/>
    </row>
    <row r="21" spans="2:8" x14ac:dyDescent="0.35">
      <c r="B21" s="27" t="s">
        <v>109</v>
      </c>
      <c r="C21" s="36" t="s">
        <v>13</v>
      </c>
      <c r="D21" s="36"/>
      <c r="E21" s="36"/>
      <c r="F21" s="36"/>
      <c r="G21" s="36"/>
      <c r="H21" s="36"/>
    </row>
  </sheetData>
  <mergeCells count="15">
    <mergeCell ref="B2:H2"/>
    <mergeCell ref="B3:H3"/>
    <mergeCell ref="C6:H6"/>
    <mergeCell ref="C7:H7"/>
    <mergeCell ref="C8:H8"/>
    <mergeCell ref="C18:H18"/>
    <mergeCell ref="C19:H19"/>
    <mergeCell ref="C20:H20"/>
    <mergeCell ref="C21:H21"/>
    <mergeCell ref="B5:H5"/>
    <mergeCell ref="C9:H9"/>
    <mergeCell ref="C10:H10"/>
    <mergeCell ref="B12:H12"/>
    <mergeCell ref="B13:H15"/>
    <mergeCell ref="B17:H1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9" tint="0.59999389629810485"/>
  </sheetPr>
  <dimension ref="A1:L20"/>
  <sheetViews>
    <sheetView showGridLines="0" zoomScale="87" zoomScaleNormal="54" workbookViewId="0">
      <pane ySplit="3" topLeftCell="A6" activePane="bottomLeft" state="frozen"/>
      <selection pane="bottomLeft" sqref="A1:J1"/>
    </sheetView>
  </sheetViews>
  <sheetFormatPr defaultColWidth="8.6328125" defaultRowHeight="62" customHeight="1" x14ac:dyDescent="0.35"/>
  <cols>
    <col min="1" max="1" width="25.1796875" customWidth="1"/>
    <col min="2" max="2" width="22.1796875" customWidth="1"/>
    <col min="3" max="3" width="13" customWidth="1"/>
    <col min="4" max="4" width="14" customWidth="1"/>
    <col min="5" max="5" width="18" customWidth="1"/>
    <col min="6" max="7" width="10" customWidth="1"/>
    <col min="8" max="8" width="14" customWidth="1"/>
    <col min="9" max="9" width="22" customWidth="1"/>
    <col min="10" max="10" width="55" customWidth="1"/>
    <col min="11" max="11" width="16" customWidth="1"/>
    <col min="12" max="12" width="30" customWidth="1"/>
  </cols>
  <sheetData>
    <row r="1" spans="1:12" ht="22.5" customHeight="1" x14ac:dyDescent="0.45">
      <c r="A1" s="46" t="s">
        <v>121</v>
      </c>
      <c r="B1" s="46"/>
      <c r="C1" s="46"/>
      <c r="D1" s="46"/>
      <c r="E1" s="46"/>
      <c r="F1" s="46"/>
      <c r="G1" s="46"/>
      <c r="H1" s="46"/>
      <c r="I1" s="46"/>
      <c r="J1" s="46"/>
    </row>
    <row r="2" spans="1:12" ht="22.5" customHeight="1" x14ac:dyDescent="0.35"/>
    <row r="3" spans="1:12" ht="62" customHeight="1" x14ac:dyDescent="0.35">
      <c r="A3" s="22" t="s">
        <v>14</v>
      </c>
      <c r="B3" s="28" t="s">
        <v>15</v>
      </c>
      <c r="C3" s="22" t="s">
        <v>16</v>
      </c>
      <c r="D3" s="22" t="s">
        <v>17</v>
      </c>
      <c r="E3" s="22" t="s">
        <v>18</v>
      </c>
      <c r="F3" s="22" t="s">
        <v>19</v>
      </c>
      <c r="G3" s="22" t="s">
        <v>20</v>
      </c>
      <c r="H3" s="22" t="s">
        <v>21</v>
      </c>
      <c r="I3" s="22" t="s">
        <v>22</v>
      </c>
      <c r="J3" s="22" t="s">
        <v>23</v>
      </c>
      <c r="K3" s="2" t="s">
        <v>24</v>
      </c>
      <c r="L3" s="2" t="s">
        <v>25</v>
      </c>
    </row>
    <row r="4" spans="1:12" ht="62" customHeight="1" x14ac:dyDescent="0.35">
      <c r="A4" s="3" t="s">
        <v>26</v>
      </c>
      <c r="B4" s="3" t="s">
        <v>27</v>
      </c>
      <c r="C4" s="4">
        <v>2.2999999999999998</v>
      </c>
      <c r="D4" s="4">
        <v>0.12</v>
      </c>
      <c r="E4" s="4">
        <v>5.14</v>
      </c>
      <c r="F4" s="4">
        <v>6.92</v>
      </c>
      <c r="G4" s="4">
        <v>4.53</v>
      </c>
      <c r="H4" s="4">
        <v>29.33</v>
      </c>
      <c r="I4" s="3" t="s">
        <v>28</v>
      </c>
      <c r="J4" s="30" t="s">
        <v>113</v>
      </c>
      <c r="K4" s="6">
        <f t="shared" ref="K4:K18" si="0">IF(C4="",0,IF(C4&lt;1,1,0))+IF(D4="",1,IF(D4&gt;1,1,0))+IF(E4="",1,IF(E4&lt;2,1,0))+IF(F4="",0,IF(F4&lt;5,1,0))+IF(G4="",0,IF(G4&lt;2,1,0))+IF(H4="",0,IF(H4&lt;5,1,0))</f>
        <v>0</v>
      </c>
      <c r="L4" s="7" t="str">
        <f t="shared" ref="L4:L18" si="1">IF(K4&gt;=3,"High Risk","Low Risk")</f>
        <v>Low Risk</v>
      </c>
    </row>
    <row r="5" spans="1:12" ht="62" customHeight="1" x14ac:dyDescent="0.35">
      <c r="A5" s="3" t="s">
        <v>29</v>
      </c>
      <c r="B5" s="3" t="s">
        <v>27</v>
      </c>
      <c r="C5" s="4">
        <v>1.43</v>
      </c>
      <c r="D5" s="4">
        <v>1.07</v>
      </c>
      <c r="E5" s="4">
        <v>5.86</v>
      </c>
      <c r="F5" s="4">
        <v>7.26</v>
      </c>
      <c r="G5" s="4">
        <v>2.0299999999999998</v>
      </c>
      <c r="H5" s="4">
        <v>29.37</v>
      </c>
      <c r="I5" s="3" t="s">
        <v>28</v>
      </c>
      <c r="J5" s="30" t="s">
        <v>113</v>
      </c>
      <c r="K5" s="6">
        <f t="shared" si="0"/>
        <v>1</v>
      </c>
      <c r="L5" s="7" t="str">
        <f t="shared" si="1"/>
        <v>Low Risk</v>
      </c>
    </row>
    <row r="6" spans="1:12" ht="62" customHeight="1" x14ac:dyDescent="0.35">
      <c r="A6" s="3" t="s">
        <v>30</v>
      </c>
      <c r="B6" s="24" t="s">
        <v>27</v>
      </c>
      <c r="C6" s="4">
        <v>3.89</v>
      </c>
      <c r="D6" s="4">
        <v>0.18</v>
      </c>
      <c r="E6" s="4">
        <v>11.75</v>
      </c>
      <c r="F6" s="4">
        <v>13.92</v>
      </c>
      <c r="G6" s="4">
        <v>9.81</v>
      </c>
      <c r="H6" s="4">
        <v>57.08</v>
      </c>
      <c r="I6" s="3" t="s">
        <v>28</v>
      </c>
      <c r="J6" s="30" t="s">
        <v>113</v>
      </c>
      <c r="K6" s="6">
        <f t="shared" si="0"/>
        <v>0</v>
      </c>
      <c r="L6" s="7" t="str">
        <f t="shared" si="1"/>
        <v>Low Risk</v>
      </c>
    </row>
    <row r="7" spans="1:12" ht="62" customHeight="1" x14ac:dyDescent="0.35">
      <c r="A7" s="3" t="s">
        <v>31</v>
      </c>
      <c r="B7" s="24" t="s">
        <v>32</v>
      </c>
      <c r="C7" s="4">
        <v>1.24</v>
      </c>
      <c r="D7" s="4">
        <v>1.36</v>
      </c>
      <c r="E7" s="4">
        <v>1.97</v>
      </c>
      <c r="F7" s="4">
        <v>4.41</v>
      </c>
      <c r="G7" s="4">
        <v>1.35</v>
      </c>
      <c r="H7" s="4">
        <v>49.66</v>
      </c>
      <c r="I7" s="3" t="s">
        <v>28</v>
      </c>
      <c r="J7" s="30" t="s">
        <v>113</v>
      </c>
      <c r="K7" s="6">
        <f t="shared" si="0"/>
        <v>4</v>
      </c>
      <c r="L7" s="7" t="str">
        <f t="shared" si="1"/>
        <v>High Risk</v>
      </c>
    </row>
    <row r="8" spans="1:12" ht="62" customHeight="1" x14ac:dyDescent="0.35">
      <c r="A8" s="3" t="s">
        <v>33</v>
      </c>
      <c r="B8" s="24" t="s">
        <v>32</v>
      </c>
      <c r="C8" s="4">
        <v>0.5</v>
      </c>
      <c r="D8" s="4"/>
      <c r="E8" s="4">
        <v>0.5</v>
      </c>
      <c r="F8" s="4"/>
      <c r="G8" s="4">
        <v>-0.8</v>
      </c>
      <c r="H8" s="4">
        <v>17.899999999999999</v>
      </c>
      <c r="I8" s="3" t="s">
        <v>34</v>
      </c>
      <c r="J8" s="30" t="s">
        <v>114</v>
      </c>
      <c r="K8" s="6">
        <f t="shared" si="0"/>
        <v>4</v>
      </c>
      <c r="L8" s="7" t="str">
        <f t="shared" si="1"/>
        <v>High Risk</v>
      </c>
    </row>
    <row r="9" spans="1:12" ht="62" customHeight="1" x14ac:dyDescent="0.35">
      <c r="A9" s="3" t="s">
        <v>35</v>
      </c>
      <c r="B9" s="24" t="s">
        <v>36</v>
      </c>
      <c r="C9" s="4">
        <v>1</v>
      </c>
      <c r="D9" s="4">
        <v>0.02</v>
      </c>
      <c r="E9" s="4">
        <v>55</v>
      </c>
      <c r="F9" s="4">
        <v>22</v>
      </c>
      <c r="G9" s="4">
        <v>13</v>
      </c>
      <c r="H9" s="4">
        <v>21</v>
      </c>
      <c r="I9" s="3" t="s">
        <v>28</v>
      </c>
      <c r="J9" s="5" t="s">
        <v>37</v>
      </c>
      <c r="K9" s="6">
        <f t="shared" si="0"/>
        <v>0</v>
      </c>
      <c r="L9" s="7" t="str">
        <f t="shared" si="1"/>
        <v>Low Risk</v>
      </c>
    </row>
    <row r="10" spans="1:12" ht="62" customHeight="1" x14ac:dyDescent="0.35">
      <c r="A10" s="8" t="s">
        <v>38</v>
      </c>
      <c r="B10" s="25" t="s">
        <v>39</v>
      </c>
      <c r="C10" s="9">
        <v>1.2</v>
      </c>
      <c r="D10" s="9">
        <v>0.15</v>
      </c>
      <c r="E10" s="9">
        <v>6</v>
      </c>
      <c r="F10" s="9">
        <v>20</v>
      </c>
      <c r="G10" s="9">
        <v>12</v>
      </c>
      <c r="H10" s="9">
        <v>14</v>
      </c>
      <c r="I10" s="8" t="s">
        <v>40</v>
      </c>
      <c r="J10" s="30" t="s">
        <v>41</v>
      </c>
      <c r="K10" s="6">
        <f t="shared" si="0"/>
        <v>0</v>
      </c>
      <c r="L10" s="7" t="str">
        <f t="shared" si="1"/>
        <v>Low Risk</v>
      </c>
    </row>
    <row r="11" spans="1:12" ht="62" customHeight="1" x14ac:dyDescent="0.35">
      <c r="A11" s="8" t="s">
        <v>42</v>
      </c>
      <c r="B11" s="8" t="s">
        <v>36</v>
      </c>
      <c r="C11" s="9">
        <v>0.7</v>
      </c>
      <c r="D11" s="9">
        <v>0.02</v>
      </c>
      <c r="E11" s="9">
        <v>80</v>
      </c>
      <c r="F11" s="9">
        <v>90</v>
      </c>
      <c r="G11" s="9">
        <v>30</v>
      </c>
      <c r="H11" s="9">
        <v>23</v>
      </c>
      <c r="I11" s="8" t="s">
        <v>40</v>
      </c>
      <c r="J11" s="5" t="s">
        <v>43</v>
      </c>
      <c r="K11" s="6">
        <f t="shared" si="0"/>
        <v>1</v>
      </c>
      <c r="L11" s="7" t="str">
        <f t="shared" si="1"/>
        <v>Low Risk</v>
      </c>
    </row>
    <row r="12" spans="1:12" ht="62" customHeight="1" x14ac:dyDescent="0.35">
      <c r="A12" s="8" t="s">
        <v>44</v>
      </c>
      <c r="B12" s="8" t="s">
        <v>36</v>
      </c>
      <c r="C12" s="9">
        <v>2.8</v>
      </c>
      <c r="D12" s="9">
        <v>0.02</v>
      </c>
      <c r="E12" s="9">
        <v>100</v>
      </c>
      <c r="F12" s="9">
        <v>27</v>
      </c>
      <c r="G12" s="9">
        <v>19</v>
      </c>
      <c r="H12" s="9">
        <v>33</v>
      </c>
      <c r="I12" s="8" t="s">
        <v>40</v>
      </c>
      <c r="J12" s="5" t="s">
        <v>45</v>
      </c>
      <c r="K12" s="6">
        <f t="shared" si="0"/>
        <v>0</v>
      </c>
      <c r="L12" s="7" t="str">
        <f t="shared" si="1"/>
        <v>Low Risk</v>
      </c>
    </row>
    <row r="13" spans="1:12" ht="62" customHeight="1" x14ac:dyDescent="0.35">
      <c r="A13" s="8" t="s">
        <v>46</v>
      </c>
      <c r="B13" s="29" t="s">
        <v>111</v>
      </c>
      <c r="C13" s="9">
        <v>1</v>
      </c>
      <c r="D13" s="9">
        <v>0.4</v>
      </c>
      <c r="E13" s="9">
        <v>15</v>
      </c>
      <c r="F13" s="9">
        <v>45</v>
      </c>
      <c r="G13" s="9">
        <v>18</v>
      </c>
      <c r="H13" s="9">
        <v>15</v>
      </c>
      <c r="I13" s="8" t="s">
        <v>40</v>
      </c>
      <c r="J13" s="5" t="s">
        <v>47</v>
      </c>
      <c r="K13" s="6">
        <f t="shared" si="0"/>
        <v>0</v>
      </c>
      <c r="L13" s="7" t="str">
        <f t="shared" si="1"/>
        <v>Low Risk</v>
      </c>
    </row>
    <row r="14" spans="1:12" ht="62" customHeight="1" x14ac:dyDescent="0.35">
      <c r="A14" s="8" t="s">
        <v>48</v>
      </c>
      <c r="B14" s="8" t="s">
        <v>36</v>
      </c>
      <c r="C14" s="9">
        <v>1.4</v>
      </c>
      <c r="D14" s="9">
        <v>0.15</v>
      </c>
      <c r="E14" s="9">
        <v>25</v>
      </c>
      <c r="F14" s="9">
        <v>18</v>
      </c>
      <c r="G14" s="9">
        <v>13</v>
      </c>
      <c r="H14" s="9">
        <v>18</v>
      </c>
      <c r="I14" s="8" t="s">
        <v>40</v>
      </c>
      <c r="J14" s="5" t="s">
        <v>47</v>
      </c>
      <c r="K14" s="6">
        <f t="shared" si="0"/>
        <v>0</v>
      </c>
      <c r="L14" s="7" t="str">
        <f t="shared" si="1"/>
        <v>Low Risk</v>
      </c>
    </row>
    <row r="15" spans="1:12" ht="62" customHeight="1" x14ac:dyDescent="0.35">
      <c r="A15" s="8" t="s">
        <v>49</v>
      </c>
      <c r="B15" s="8" t="s">
        <v>36</v>
      </c>
      <c r="C15" s="9">
        <v>1.5</v>
      </c>
      <c r="D15" s="9">
        <v>0.25</v>
      </c>
      <c r="E15" s="9">
        <v>20</v>
      </c>
      <c r="F15" s="9">
        <v>35</v>
      </c>
      <c r="G15" s="9">
        <v>20</v>
      </c>
      <c r="H15" s="9">
        <v>19</v>
      </c>
      <c r="I15" s="8" t="s">
        <v>40</v>
      </c>
      <c r="J15" s="30" t="s">
        <v>47</v>
      </c>
      <c r="K15" s="6">
        <f t="shared" si="0"/>
        <v>0</v>
      </c>
      <c r="L15" s="7" t="str">
        <f t="shared" si="1"/>
        <v>Low Risk</v>
      </c>
    </row>
    <row r="16" spans="1:12" ht="62" customHeight="1" x14ac:dyDescent="0.35">
      <c r="A16" s="8" t="s">
        <v>50</v>
      </c>
      <c r="B16" s="8" t="s">
        <v>51</v>
      </c>
      <c r="C16" s="9">
        <v>0.6</v>
      </c>
      <c r="D16" s="9">
        <v>2.5</v>
      </c>
      <c r="E16" s="9">
        <v>3</v>
      </c>
      <c r="F16" s="9">
        <v>60</v>
      </c>
      <c r="G16" s="9">
        <v>8</v>
      </c>
      <c r="H16" s="9">
        <v>15</v>
      </c>
      <c r="I16" s="8" t="s">
        <v>40</v>
      </c>
      <c r="J16" s="30" t="s">
        <v>52</v>
      </c>
      <c r="K16" s="6">
        <f t="shared" si="0"/>
        <v>2</v>
      </c>
      <c r="L16" s="7" t="str">
        <f t="shared" si="1"/>
        <v>Low Risk</v>
      </c>
    </row>
    <row r="17" spans="1:12" ht="62" customHeight="1" x14ac:dyDescent="0.35">
      <c r="A17" s="8" t="s">
        <v>53</v>
      </c>
      <c r="B17" s="8" t="s">
        <v>51</v>
      </c>
      <c r="C17" s="9">
        <v>0.3</v>
      </c>
      <c r="D17" s="9"/>
      <c r="E17" s="9">
        <v>-1</v>
      </c>
      <c r="F17" s="9">
        <v>-30</v>
      </c>
      <c r="G17" s="9">
        <v>-10</v>
      </c>
      <c r="H17" s="9">
        <v>-5</v>
      </c>
      <c r="I17" s="8" t="s">
        <v>54</v>
      </c>
      <c r="J17" s="30" t="s">
        <v>55</v>
      </c>
      <c r="K17" s="6">
        <f t="shared" si="0"/>
        <v>6</v>
      </c>
      <c r="L17" s="7" t="str">
        <f t="shared" si="1"/>
        <v>High Risk</v>
      </c>
    </row>
    <row r="18" spans="1:12" ht="62" customHeight="1" x14ac:dyDescent="0.35">
      <c r="A18" s="8" t="s">
        <v>56</v>
      </c>
      <c r="B18" s="29" t="s">
        <v>57</v>
      </c>
      <c r="C18" s="26">
        <v>0.3</v>
      </c>
      <c r="D18" s="26"/>
      <c r="E18" s="26">
        <v>0.3</v>
      </c>
      <c r="F18" s="26">
        <v>-80</v>
      </c>
      <c r="G18" s="26">
        <v>-15</v>
      </c>
      <c r="H18" s="26">
        <v>10</v>
      </c>
      <c r="I18" s="8" t="s">
        <v>54</v>
      </c>
      <c r="J18" s="30" t="s">
        <v>115</v>
      </c>
      <c r="K18" s="6">
        <f t="shared" si="0"/>
        <v>5</v>
      </c>
      <c r="L18" s="7" t="str">
        <f t="shared" si="1"/>
        <v>High Risk</v>
      </c>
    </row>
    <row r="19" spans="1:12" ht="62" customHeight="1" x14ac:dyDescent="0.35">
      <c r="A19" s="8" t="s">
        <v>58</v>
      </c>
      <c r="B19" s="29" t="s">
        <v>59</v>
      </c>
      <c r="C19" s="26"/>
      <c r="D19" s="26"/>
      <c r="E19" s="26"/>
      <c r="F19" s="26">
        <v>3</v>
      </c>
      <c r="G19" s="26">
        <v>0.3</v>
      </c>
      <c r="H19" s="26"/>
      <c r="I19" s="8" t="s">
        <v>60</v>
      </c>
      <c r="J19" s="30" t="s">
        <v>61</v>
      </c>
      <c r="K19" s="6" t="s">
        <v>62</v>
      </c>
      <c r="L19" s="7" t="s">
        <v>63</v>
      </c>
    </row>
    <row r="20" spans="1:12" ht="62" customHeight="1" x14ac:dyDescent="0.35">
      <c r="A20" s="8" t="s">
        <v>64</v>
      </c>
      <c r="B20" s="29" t="s">
        <v>112</v>
      </c>
      <c r="C20" s="26">
        <v>0.9</v>
      </c>
      <c r="D20" s="26">
        <v>0.8</v>
      </c>
      <c r="E20" s="26">
        <v>4</v>
      </c>
      <c r="F20" s="26">
        <v>12</v>
      </c>
      <c r="G20" s="26">
        <v>5</v>
      </c>
      <c r="H20" s="26">
        <v>15</v>
      </c>
      <c r="I20" s="8" t="s">
        <v>40</v>
      </c>
      <c r="J20" s="30" t="s">
        <v>66</v>
      </c>
      <c r="K20" s="6">
        <f>IF(C20="",0,IF(C20&lt;1,1,0))+IF(D20="",1,IF(D20&gt;1,1,0))+IF(E20="",1,IF(E20&lt;2,1,0))+IF(F20="",0,IF(F20&lt;5,1,0))+IF(G20="",0,IF(G20&lt;2,1,0))+IF(H20="",0,IF(H20&lt;5,1,0))</f>
        <v>1</v>
      </c>
      <c r="L20" s="7" t="str">
        <f>IF(K20&gt;=3,"High Risk","Low Risk")</f>
        <v>Low Risk</v>
      </c>
    </row>
  </sheetData>
  <mergeCells count="1">
    <mergeCell ref="A1:J1"/>
  </mergeCells>
  <conditionalFormatting sqref="D4:D20">
    <cfRule type="iconSet" priority="5">
      <iconSet reverse="1">
        <cfvo type="percent" val="0"/>
        <cfvo type="percent" val="33"/>
        <cfvo type="percent" val="67"/>
      </iconSet>
    </cfRule>
  </conditionalFormatting>
  <conditionalFormatting sqref="E4:E20">
    <cfRule type="iconSet" priority="6">
      <iconSet>
        <cfvo type="percent" val="0"/>
        <cfvo type="percent" val="33"/>
        <cfvo type="percent" val="67"/>
      </iconSet>
    </cfRule>
  </conditionalFormatting>
  <conditionalFormatting sqref="L4:L20">
    <cfRule type="cellIs" dxfId="2" priority="2" operator="equal">
      <formula>"High Risk"</formula>
    </cfRule>
    <cfRule type="cellIs" dxfId="1" priority="3" operator="equal">
      <formula>"Low Risk"</formula>
    </cfRule>
    <cfRule type="cellIs" dxfId="0" priority="4" operator="equal">
      <formula>"Excluded (Bank – different ratio framework)"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0000"/>
  </sheetPr>
  <dimension ref="A1:E48"/>
  <sheetViews>
    <sheetView showGridLines="0" topLeftCell="A5" zoomScale="50" zoomScaleNormal="42" workbookViewId="0">
      <selection activeCell="L47" sqref="L47"/>
    </sheetView>
  </sheetViews>
  <sheetFormatPr defaultColWidth="8.6328125" defaultRowHeight="14.5" x14ac:dyDescent="0.35"/>
  <cols>
    <col min="1" max="1" width="28" customWidth="1"/>
    <col min="2" max="2" width="20" customWidth="1"/>
    <col min="3" max="3" width="14" customWidth="1"/>
    <col min="4" max="4" width="26" customWidth="1"/>
  </cols>
  <sheetData>
    <row r="1" spans="1:5" ht="26" customHeight="1" x14ac:dyDescent="0.45">
      <c r="A1" s="31" t="s">
        <v>116</v>
      </c>
      <c r="B1" s="31"/>
      <c r="C1" s="31"/>
      <c r="D1" s="31"/>
      <c r="E1" s="31"/>
    </row>
    <row r="3" spans="1:5" ht="15" customHeight="1" x14ac:dyDescent="0.35">
      <c r="A3" s="10" t="s">
        <v>83</v>
      </c>
      <c r="B3" s="10" t="s">
        <v>84</v>
      </c>
      <c r="C3" s="10" t="s">
        <v>85</v>
      </c>
      <c r="D3" s="10" t="s">
        <v>86</v>
      </c>
    </row>
    <row r="4" spans="1:5" ht="17.25" customHeight="1" x14ac:dyDescent="0.4">
      <c r="A4" s="11">
        <v>16</v>
      </c>
      <c r="B4" s="11">
        <v>4</v>
      </c>
      <c r="C4" s="11">
        <v>12</v>
      </c>
      <c r="D4" s="11">
        <v>25</v>
      </c>
    </row>
    <row r="7" spans="1:5" ht="15" customHeight="1" x14ac:dyDescent="0.35">
      <c r="A7" s="12" t="s">
        <v>14</v>
      </c>
      <c r="B7" s="12" t="s">
        <v>15</v>
      </c>
      <c r="C7" s="12" t="s">
        <v>87</v>
      </c>
      <c r="D7" s="12" t="s">
        <v>88</v>
      </c>
    </row>
    <row r="8" spans="1:5" ht="15" customHeight="1" x14ac:dyDescent="0.35">
      <c r="A8" s="13" t="s">
        <v>56</v>
      </c>
      <c r="B8" s="13" t="s">
        <v>57</v>
      </c>
      <c r="C8" s="13" t="s">
        <v>89</v>
      </c>
      <c r="D8" s="14">
        <v>99.99</v>
      </c>
    </row>
    <row r="9" spans="1:5" ht="15" customHeight="1" x14ac:dyDescent="0.35">
      <c r="A9" s="13" t="s">
        <v>33</v>
      </c>
      <c r="B9" s="13" t="s">
        <v>32</v>
      </c>
      <c r="C9" s="13" t="s">
        <v>89</v>
      </c>
      <c r="D9" s="14">
        <v>99.99</v>
      </c>
    </row>
    <row r="10" spans="1:5" ht="15" customHeight="1" x14ac:dyDescent="0.35">
      <c r="A10" s="13" t="s">
        <v>53</v>
      </c>
      <c r="B10" s="13" t="s">
        <v>51</v>
      </c>
      <c r="C10" s="13" t="s">
        <v>89</v>
      </c>
      <c r="D10" s="14">
        <v>97.78</v>
      </c>
    </row>
    <row r="11" spans="1:5" ht="15" customHeight="1" x14ac:dyDescent="0.35">
      <c r="A11" s="13" t="s">
        <v>31</v>
      </c>
      <c r="B11" s="13" t="s">
        <v>32</v>
      </c>
      <c r="C11" s="13" t="s">
        <v>89</v>
      </c>
      <c r="D11" s="14">
        <v>78.569999999999993</v>
      </c>
    </row>
    <row r="12" spans="1:5" ht="15" customHeight="1" x14ac:dyDescent="0.35">
      <c r="A12" s="15" t="s">
        <v>30</v>
      </c>
      <c r="B12" s="15" t="s">
        <v>27</v>
      </c>
      <c r="C12" s="15" t="s">
        <v>85</v>
      </c>
      <c r="D12" s="16">
        <v>8.76</v>
      </c>
    </row>
    <row r="13" spans="1:5" ht="15" customHeight="1" x14ac:dyDescent="0.35">
      <c r="A13" s="15" t="s">
        <v>29</v>
      </c>
      <c r="B13" s="15" t="s">
        <v>27</v>
      </c>
      <c r="C13" s="15" t="s">
        <v>85</v>
      </c>
      <c r="D13" s="16">
        <v>7.91</v>
      </c>
    </row>
    <row r="14" spans="1:5" ht="15" customHeight="1" x14ac:dyDescent="0.35">
      <c r="A14" s="15" t="s">
        <v>26</v>
      </c>
      <c r="B14" s="15" t="s">
        <v>27</v>
      </c>
      <c r="C14" s="15" t="s">
        <v>85</v>
      </c>
      <c r="D14" s="16">
        <v>6.46</v>
      </c>
    </row>
    <row r="15" spans="1:5" ht="15" customHeight="1" x14ac:dyDescent="0.35">
      <c r="A15" s="15" t="s">
        <v>64</v>
      </c>
      <c r="B15" s="15" t="s">
        <v>65</v>
      </c>
      <c r="C15" s="15" t="s">
        <v>85</v>
      </c>
      <c r="D15" s="16">
        <v>0.5</v>
      </c>
    </row>
    <row r="16" spans="1:5" ht="15" customHeight="1" x14ac:dyDescent="0.35">
      <c r="A16" s="15" t="s">
        <v>38</v>
      </c>
      <c r="B16" s="15" t="s">
        <v>39</v>
      </c>
      <c r="C16" s="15" t="s">
        <v>85</v>
      </c>
      <c r="D16" s="16">
        <v>0.03</v>
      </c>
    </row>
    <row r="17" spans="1:4" ht="15" customHeight="1" x14ac:dyDescent="0.35">
      <c r="A17" s="15" t="s">
        <v>35</v>
      </c>
      <c r="B17" s="15" t="s">
        <v>36</v>
      </c>
      <c r="C17" s="15" t="s">
        <v>85</v>
      </c>
      <c r="D17" s="16">
        <v>0</v>
      </c>
    </row>
    <row r="18" spans="1:4" ht="15" customHeight="1" x14ac:dyDescent="0.35">
      <c r="A18" s="15" t="s">
        <v>42</v>
      </c>
      <c r="B18" s="15" t="s">
        <v>36</v>
      </c>
      <c r="C18" s="15" t="s">
        <v>85</v>
      </c>
      <c r="D18" s="16">
        <v>0</v>
      </c>
    </row>
    <row r="19" spans="1:4" ht="15" customHeight="1" x14ac:dyDescent="0.35">
      <c r="A19" s="15" t="s">
        <v>44</v>
      </c>
      <c r="B19" s="15" t="s">
        <v>36</v>
      </c>
      <c r="C19" s="15" t="s">
        <v>85</v>
      </c>
      <c r="D19" s="16">
        <v>0</v>
      </c>
    </row>
    <row r="20" spans="1:4" ht="15" customHeight="1" x14ac:dyDescent="0.35">
      <c r="A20" s="15" t="s">
        <v>49</v>
      </c>
      <c r="B20" s="15" t="s">
        <v>36</v>
      </c>
      <c r="C20" s="15" t="s">
        <v>85</v>
      </c>
      <c r="D20" s="16">
        <v>0</v>
      </c>
    </row>
    <row r="21" spans="1:4" ht="15" customHeight="1" x14ac:dyDescent="0.35">
      <c r="A21" s="15" t="s">
        <v>48</v>
      </c>
      <c r="B21" s="15" t="s">
        <v>36</v>
      </c>
      <c r="C21" s="15" t="s">
        <v>85</v>
      </c>
      <c r="D21" s="16">
        <v>0</v>
      </c>
    </row>
    <row r="22" spans="1:4" ht="15" customHeight="1" x14ac:dyDescent="0.35">
      <c r="A22" s="15" t="s">
        <v>46</v>
      </c>
      <c r="B22" s="15" t="s">
        <v>36</v>
      </c>
      <c r="C22" s="15" t="s">
        <v>85</v>
      </c>
      <c r="D22" s="16">
        <v>0</v>
      </c>
    </row>
    <row r="23" spans="1:4" ht="15" customHeight="1" x14ac:dyDescent="0.35">
      <c r="A23" s="15" t="s">
        <v>50</v>
      </c>
      <c r="B23" s="15" t="s">
        <v>51</v>
      </c>
      <c r="C23" s="15" t="s">
        <v>85</v>
      </c>
      <c r="D23" s="16">
        <v>0</v>
      </c>
    </row>
    <row r="27" spans="1:4" x14ac:dyDescent="0.35">
      <c r="A27" s="17" t="s">
        <v>15</v>
      </c>
      <c r="B27" s="17" t="s">
        <v>89</v>
      </c>
      <c r="C27" s="17" t="s">
        <v>85</v>
      </c>
    </row>
    <row r="28" spans="1:4" x14ac:dyDescent="0.35">
      <c r="A28" s="18" t="s">
        <v>51</v>
      </c>
      <c r="B28" s="18">
        <v>1</v>
      </c>
      <c r="C28" s="18">
        <v>1</v>
      </c>
    </row>
    <row r="29" spans="1:4" x14ac:dyDescent="0.35">
      <c r="A29" s="18" t="s">
        <v>36</v>
      </c>
      <c r="B29" s="18">
        <v>0</v>
      </c>
      <c r="C29" s="18">
        <v>6</v>
      </c>
    </row>
    <row r="30" spans="1:4" x14ac:dyDescent="0.35">
      <c r="A30" s="18" t="s">
        <v>65</v>
      </c>
      <c r="B30" s="18">
        <v>0</v>
      </c>
      <c r="C30" s="18">
        <v>1</v>
      </c>
    </row>
    <row r="31" spans="1:4" x14ac:dyDescent="0.35">
      <c r="A31" s="18" t="s">
        <v>32</v>
      </c>
      <c r="B31" s="18">
        <v>2</v>
      </c>
      <c r="C31" s="18">
        <v>0</v>
      </c>
    </row>
    <row r="32" spans="1:4" x14ac:dyDescent="0.35">
      <c r="A32" s="18" t="s">
        <v>39</v>
      </c>
      <c r="B32" s="18">
        <v>0</v>
      </c>
      <c r="C32" s="18">
        <v>1</v>
      </c>
    </row>
    <row r="33" spans="1:4" x14ac:dyDescent="0.35">
      <c r="A33" s="18" t="s">
        <v>27</v>
      </c>
      <c r="B33" s="18">
        <v>0</v>
      </c>
      <c r="C33" s="18">
        <v>3</v>
      </c>
    </row>
    <row r="34" spans="1:4" x14ac:dyDescent="0.35">
      <c r="A34" s="18" t="s">
        <v>57</v>
      </c>
      <c r="B34" s="18">
        <v>1</v>
      </c>
      <c r="C34" s="18">
        <v>0</v>
      </c>
    </row>
    <row r="38" spans="1:4" ht="16.5" x14ac:dyDescent="0.35">
      <c r="A38" s="53" t="s">
        <v>120</v>
      </c>
      <c r="B38" s="53"/>
      <c r="C38" s="53"/>
      <c r="D38" s="53"/>
    </row>
    <row r="39" spans="1:4" x14ac:dyDescent="0.35">
      <c r="A39" s="47" t="s">
        <v>117</v>
      </c>
      <c r="B39" s="48"/>
      <c r="C39" s="48"/>
      <c r="D39" s="49"/>
    </row>
    <row r="40" spans="1:4" x14ac:dyDescent="0.35">
      <c r="A40" s="50" t="s">
        <v>118</v>
      </c>
      <c r="B40" s="51"/>
      <c r="C40" s="51"/>
      <c r="D40" s="52"/>
    </row>
    <row r="41" spans="1:4" x14ac:dyDescent="0.35">
      <c r="A41" s="55"/>
      <c r="B41" s="56"/>
      <c r="C41" s="56"/>
      <c r="D41" s="56"/>
    </row>
    <row r="45" spans="1:4" x14ac:dyDescent="0.35">
      <c r="A45" s="54"/>
      <c r="B45" s="54"/>
      <c r="C45" s="54"/>
      <c r="D45" s="54"/>
    </row>
    <row r="46" spans="1:4" ht="23.9" customHeight="1" x14ac:dyDescent="0.35">
      <c r="A46" s="55"/>
      <c r="B46" s="56"/>
      <c r="C46" s="56"/>
      <c r="D46" s="56"/>
    </row>
    <row r="47" spans="1:4" x14ac:dyDescent="0.35">
      <c r="A47" s="35"/>
      <c r="B47" s="35"/>
      <c r="C47" s="35"/>
      <c r="D47" s="35"/>
    </row>
    <row r="48" spans="1:4" ht="23.9" customHeight="1" x14ac:dyDescent="0.35">
      <c r="A48" s="55"/>
      <c r="B48" s="56"/>
      <c r="C48" s="56"/>
      <c r="D48" s="56"/>
    </row>
  </sheetData>
  <mergeCells count="7">
    <mergeCell ref="A48:D48"/>
    <mergeCell ref="A41:D41"/>
    <mergeCell ref="A39:D39"/>
    <mergeCell ref="A40:D40"/>
    <mergeCell ref="A38:D38"/>
    <mergeCell ref="A45:D45"/>
    <mergeCell ref="A46:D4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6" tint="0.59999389629810485"/>
  </sheetPr>
  <dimension ref="A1:H36"/>
  <sheetViews>
    <sheetView showGridLines="0" topLeftCell="A12" zoomScale="82" zoomScaleNormal="100" workbookViewId="0">
      <selection activeCell="I26" sqref="I26"/>
    </sheetView>
  </sheetViews>
  <sheetFormatPr defaultColWidth="8.6328125" defaultRowHeight="14.5" x14ac:dyDescent="0.35"/>
  <cols>
    <col min="1" max="1" width="24" customWidth="1"/>
    <col min="2" max="3" width="14" customWidth="1"/>
    <col min="4" max="4" width="18" customWidth="1"/>
    <col min="7" max="7" width="23.90625" customWidth="1"/>
    <col min="8" max="8" width="23" customWidth="1"/>
  </cols>
  <sheetData>
    <row r="1" spans="1:8" ht="18" x14ac:dyDescent="0.4">
      <c r="A1" s="57" t="s">
        <v>119</v>
      </c>
      <c r="B1" s="57"/>
      <c r="C1" s="57"/>
      <c r="D1" s="57"/>
      <c r="E1" s="57"/>
      <c r="F1" s="57"/>
    </row>
    <row r="3" spans="1:8" x14ac:dyDescent="0.35">
      <c r="A3" s="58" t="s">
        <v>90</v>
      </c>
      <c r="B3" s="58"/>
      <c r="C3" s="58"/>
      <c r="D3" s="58"/>
      <c r="E3" s="58"/>
      <c r="F3" s="58"/>
    </row>
    <row r="4" spans="1:8" ht="15" customHeight="1" x14ac:dyDescent="0.35">
      <c r="A4" s="59" t="s">
        <v>91</v>
      </c>
      <c r="B4" s="59"/>
      <c r="C4" s="59"/>
      <c r="D4" s="59"/>
      <c r="E4" s="59"/>
      <c r="F4" s="59"/>
    </row>
    <row r="5" spans="1:8" x14ac:dyDescent="0.35">
      <c r="A5" s="59"/>
      <c r="B5" s="59"/>
      <c r="C5" s="59"/>
      <c r="D5" s="59"/>
      <c r="E5" s="59"/>
      <c r="F5" s="59"/>
    </row>
    <row r="6" spans="1:8" x14ac:dyDescent="0.35">
      <c r="A6" s="59"/>
      <c r="B6" s="59"/>
      <c r="C6" s="59"/>
      <c r="D6" s="59"/>
      <c r="E6" s="59"/>
      <c r="F6" s="59"/>
    </row>
    <row r="8" spans="1:8" x14ac:dyDescent="0.35">
      <c r="A8" s="58" t="s">
        <v>92</v>
      </c>
      <c r="B8" s="58"/>
      <c r="C8" s="58"/>
      <c r="D8" s="58"/>
      <c r="E8" s="58"/>
      <c r="F8" s="58"/>
    </row>
    <row r="9" spans="1:8" x14ac:dyDescent="0.35">
      <c r="A9" s="12" t="s">
        <v>93</v>
      </c>
      <c r="B9" s="12" t="s">
        <v>94</v>
      </c>
      <c r="C9" s="12" t="s">
        <v>95</v>
      </c>
      <c r="D9" s="12" t="s">
        <v>96</v>
      </c>
      <c r="G9" t="s">
        <v>93</v>
      </c>
      <c r="H9" t="s">
        <v>97</v>
      </c>
    </row>
    <row r="10" spans="1:8" x14ac:dyDescent="0.35">
      <c r="A10" s="18" t="s">
        <v>19</v>
      </c>
      <c r="B10" s="19">
        <v>-0.2031</v>
      </c>
      <c r="C10" s="19">
        <v>0.81620000000000004</v>
      </c>
      <c r="D10" s="20" t="s">
        <v>98</v>
      </c>
      <c r="G10" t="s">
        <v>16</v>
      </c>
      <c r="H10">
        <v>3.3500000000000002E-2</v>
      </c>
    </row>
    <row r="11" spans="1:8" x14ac:dyDescent="0.35">
      <c r="A11" s="18" t="s">
        <v>18</v>
      </c>
      <c r="B11" s="19">
        <v>-0.1447</v>
      </c>
      <c r="C11" s="19">
        <v>0.86529999999999996</v>
      </c>
      <c r="D11" s="20" t="s">
        <v>98</v>
      </c>
      <c r="G11" t="s">
        <v>17</v>
      </c>
      <c r="H11">
        <v>4.02E-2</v>
      </c>
    </row>
    <row r="12" spans="1:8" x14ac:dyDescent="0.35">
      <c r="A12" s="18" t="s">
        <v>20</v>
      </c>
      <c r="B12" s="19">
        <v>-0.12740000000000001</v>
      </c>
      <c r="C12" s="19">
        <v>0.88039999999999996</v>
      </c>
      <c r="D12" s="20" t="s">
        <v>98</v>
      </c>
      <c r="G12" t="s">
        <v>21</v>
      </c>
      <c r="H12">
        <v>0.1236</v>
      </c>
    </row>
    <row r="13" spans="1:8" x14ac:dyDescent="0.35">
      <c r="A13" s="18" t="s">
        <v>21</v>
      </c>
      <c r="B13" s="19">
        <v>0.1236</v>
      </c>
      <c r="C13" s="19">
        <v>1.1315999999999999</v>
      </c>
      <c r="D13" s="21" t="s">
        <v>99</v>
      </c>
      <c r="G13" t="s">
        <v>20</v>
      </c>
      <c r="H13">
        <v>0.12740000000000001</v>
      </c>
    </row>
    <row r="14" spans="1:8" x14ac:dyDescent="0.35">
      <c r="A14" s="18" t="s">
        <v>17</v>
      </c>
      <c r="B14" s="19">
        <v>4.02E-2</v>
      </c>
      <c r="C14" s="19">
        <v>1.0409999999999999</v>
      </c>
      <c r="D14" s="21" t="s">
        <v>99</v>
      </c>
      <c r="G14" t="s">
        <v>18</v>
      </c>
      <c r="H14">
        <v>0.1447</v>
      </c>
    </row>
    <row r="15" spans="1:8" x14ac:dyDescent="0.35">
      <c r="A15" s="18" t="s">
        <v>16</v>
      </c>
      <c r="B15" s="19">
        <v>-3.3500000000000002E-2</v>
      </c>
      <c r="C15" s="19">
        <v>0.96709999999999996</v>
      </c>
      <c r="D15" s="20" t="s">
        <v>98</v>
      </c>
      <c r="G15" t="s">
        <v>19</v>
      </c>
      <c r="H15">
        <v>0.2031</v>
      </c>
    </row>
    <row r="34" spans="1:6" ht="15" customHeight="1" x14ac:dyDescent="0.35">
      <c r="A34" s="60" t="s">
        <v>100</v>
      </c>
      <c r="B34" s="60"/>
      <c r="C34" s="60"/>
      <c r="D34" s="60"/>
      <c r="E34" s="60"/>
      <c r="F34" s="60"/>
    </row>
    <row r="35" spans="1:6" x14ac:dyDescent="0.35">
      <c r="A35" s="60"/>
      <c r="B35" s="60"/>
      <c r="C35" s="60"/>
      <c r="D35" s="60"/>
      <c r="E35" s="60"/>
      <c r="F35" s="60"/>
    </row>
    <row r="36" spans="1:6" x14ac:dyDescent="0.35">
      <c r="A36" s="60"/>
      <c r="B36" s="60"/>
      <c r="C36" s="60"/>
      <c r="D36" s="60"/>
      <c r="E36" s="60"/>
      <c r="F36" s="60"/>
    </row>
  </sheetData>
  <mergeCells count="5">
    <mergeCell ref="A1:F1"/>
    <mergeCell ref="A3:F3"/>
    <mergeCell ref="A4:F6"/>
    <mergeCell ref="A8:F8"/>
    <mergeCell ref="A34:F36"/>
  </mergeCells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4" tint="0.59999389629810485"/>
  </sheetPr>
  <dimension ref="A1:A24"/>
  <sheetViews>
    <sheetView topLeftCell="A11" zoomScaleNormal="100" workbookViewId="0">
      <selection activeCell="A11" sqref="A11"/>
    </sheetView>
  </sheetViews>
  <sheetFormatPr defaultColWidth="8.6328125" defaultRowHeight="14.5" x14ac:dyDescent="0.35"/>
  <cols>
    <col min="1" max="1" width="120" customWidth="1"/>
  </cols>
  <sheetData>
    <row r="1" spans="1:1" ht="15.75" customHeight="1" x14ac:dyDescent="0.35">
      <c r="A1" s="34" t="s">
        <v>67</v>
      </c>
    </row>
    <row r="2" spans="1:1" ht="15" customHeight="1" x14ac:dyDescent="0.35">
      <c r="A2" s="1"/>
    </row>
    <row r="3" spans="1:1" ht="28.5" customHeight="1" x14ac:dyDescent="0.35">
      <c r="A3" s="1" t="s">
        <v>68</v>
      </c>
    </row>
    <row r="4" spans="1:1" ht="54.5" customHeight="1" x14ac:dyDescent="0.35">
      <c r="A4" s="1" t="s">
        <v>69</v>
      </c>
    </row>
    <row r="5" spans="1:1" ht="15" customHeight="1" x14ac:dyDescent="0.35">
      <c r="A5" s="1"/>
    </row>
    <row r="6" spans="1:1" ht="50.5" customHeight="1" x14ac:dyDescent="0.35">
      <c r="A6" s="1" t="s">
        <v>70</v>
      </c>
    </row>
    <row r="7" spans="1:1" ht="15" customHeight="1" x14ac:dyDescent="0.35">
      <c r="A7" s="1"/>
    </row>
    <row r="8" spans="1:1" ht="50.5" customHeight="1" x14ac:dyDescent="0.35">
      <c r="A8" s="1" t="s">
        <v>71</v>
      </c>
    </row>
    <row r="9" spans="1:1" ht="15" customHeight="1" x14ac:dyDescent="0.35">
      <c r="A9" s="1"/>
    </row>
    <row r="10" spans="1:1" ht="15" customHeight="1" x14ac:dyDescent="0.35">
      <c r="A10" s="32" t="s">
        <v>72</v>
      </c>
    </row>
    <row r="11" spans="1:1" ht="15" customHeight="1" x14ac:dyDescent="0.35">
      <c r="A11" s="32" t="s">
        <v>73</v>
      </c>
    </row>
    <row r="12" spans="1:1" ht="15" customHeight="1" x14ac:dyDescent="0.35">
      <c r="A12" s="32" t="s">
        <v>74</v>
      </c>
    </row>
    <row r="13" spans="1:1" ht="15" customHeight="1" x14ac:dyDescent="0.35">
      <c r="A13" s="32" t="s">
        <v>75</v>
      </c>
    </row>
    <row r="14" spans="1:1" ht="15" customHeight="1" x14ac:dyDescent="0.35">
      <c r="A14" s="32" t="s">
        <v>76</v>
      </c>
    </row>
    <row r="15" spans="1:1" ht="15" customHeight="1" x14ac:dyDescent="0.35">
      <c r="A15" s="32" t="s">
        <v>77</v>
      </c>
    </row>
    <row r="16" spans="1:1" ht="15" customHeight="1" x14ac:dyDescent="0.35">
      <c r="A16" s="32" t="s">
        <v>78</v>
      </c>
    </row>
    <row r="18" spans="1:1" ht="15" customHeight="1" x14ac:dyDescent="0.35">
      <c r="A18" s="33"/>
    </row>
    <row r="19" spans="1:1" ht="30" customHeight="1" x14ac:dyDescent="0.35">
      <c r="A19" s="1" t="s">
        <v>79</v>
      </c>
    </row>
    <row r="20" spans="1:1" ht="15" customHeight="1" x14ac:dyDescent="0.35">
      <c r="A20" s="1" t="s">
        <v>80</v>
      </c>
    </row>
    <row r="21" spans="1:1" ht="15" customHeight="1" x14ac:dyDescent="0.35">
      <c r="A21" s="1" t="s">
        <v>81</v>
      </c>
    </row>
    <row r="23" spans="1:1" ht="15" customHeight="1" x14ac:dyDescent="0.35">
      <c r="A23" s="33"/>
    </row>
    <row r="24" spans="1:1" ht="54.5" customHeight="1" x14ac:dyDescent="0.35">
      <c r="A24" s="1" t="s">
        <v>82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Page</vt:lpstr>
      <vt:lpstr>Company Ratios</vt:lpstr>
      <vt:lpstr>Risk Dashboard</vt:lpstr>
      <vt:lpstr>Model Summary</vt:lpstr>
      <vt:lpstr>Legend &amp; 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Gourvi Sharma</cp:lastModifiedBy>
  <cp:revision>3</cp:revision>
  <dcterms:created xsi:type="dcterms:W3CDTF">2026-09-10T05:19:39Z</dcterms:created>
  <dcterms:modified xsi:type="dcterms:W3CDTF">2026-09-14T20:13:38Z</dcterms:modified>
  <dc:language>en-US</dc:language>
</cp:coreProperties>
</file>